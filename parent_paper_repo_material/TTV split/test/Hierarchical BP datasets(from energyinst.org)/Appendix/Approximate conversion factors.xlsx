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ximate conversion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Approximate conversion factors</t>
        </is>
      </c>
    </row>
    <row r="2"/>
    <row r="3">
      <c r="D3" t="inlineStr">
        <is>
          <t>To</t>
        </is>
      </c>
      <c r="K3" s="1" t="inlineStr">
        <is>
          <t>Units</t>
        </is>
      </c>
    </row>
    <row r="4">
      <c r="D4" t="inlineStr">
        <is>
          <t>tonnes</t>
        </is>
      </c>
      <c r="G4" t="inlineStr">
        <is>
          <t>US</t>
        </is>
      </c>
      <c r="H4" t="inlineStr">
        <is>
          <t>tonnes/</t>
        </is>
      </c>
      <c r="K4" t="inlineStr">
        <is>
          <t xml:space="preserve">1 metric tonne = 2204.62 lb. </t>
        </is>
      </c>
    </row>
    <row r="5">
      <c r="A5" s="1" t="inlineStr">
        <is>
          <t>Crude oil*</t>
        </is>
      </c>
      <c r="D5" t="inlineStr">
        <is>
          <t>(metric)</t>
        </is>
      </c>
      <c r="E5" t="inlineStr">
        <is>
          <t>kilolitres</t>
        </is>
      </c>
      <c r="F5" t="inlineStr">
        <is>
          <t>barrels</t>
        </is>
      </c>
      <c r="G5" t="inlineStr">
        <is>
          <t>gallons</t>
        </is>
      </c>
      <c r="H5" t="inlineStr">
        <is>
          <t>year</t>
        </is>
      </c>
      <c r="K5">
        <f> 1.1023 short tons</f>
        <v/>
      </c>
    </row>
    <row r="6">
      <c r="A6" t="n">
        <v>2006</v>
      </c>
      <c r="B6" s="2" t="n">
        <v>0.374</v>
      </c>
      <c r="C6" t="n">
        <v>2017</v>
      </c>
      <c r="D6" s="2" t="n">
        <v>0.4</v>
      </c>
    </row>
    <row r="7">
      <c r="A7" t="n">
        <v>2007</v>
      </c>
      <c r="B7" s="2" t="n">
        <v>0.376</v>
      </c>
      <c r="C7" t="n">
        <v>2018</v>
      </c>
      <c r="D7" s="2" t="n">
        <v>0.402</v>
      </c>
    </row>
    <row r="8">
      <c r="A8" t="n">
        <v>2008</v>
      </c>
      <c r="B8" s="2" t="n">
        <v>0.379</v>
      </c>
      <c r="C8" t="n">
        <v>2019</v>
      </c>
      <c r="D8" s="2" t="n">
        <v>0.404</v>
      </c>
    </row>
    <row r="9">
      <c r="A9" t="n">
        <v>2009</v>
      </c>
      <c r="B9" s="2" t="n">
        <v>0.381</v>
      </c>
      <c r="C9" t="n">
        <v>2020</v>
      </c>
      <c r="D9" s="2" t="n">
        <v>0.405</v>
      </c>
    </row>
    <row r="10">
      <c r="A10" t="n">
        <v>2010</v>
      </c>
      <c r="B10" s="2" t="n">
        <v>0.384</v>
      </c>
      <c r="C10" t="n">
        <v>2021</v>
      </c>
      <c r="D10" s="2" t="n">
        <v>0.406</v>
      </c>
    </row>
    <row r="11">
      <c r="A11" t="n">
        <v>2011</v>
      </c>
      <c r="B11" s="2" t="n">
        <v>0.386</v>
      </c>
      <c r="C11" t="n">
        <v>2022</v>
      </c>
      <c r="D11" s="2" t="n">
        <v>0.407</v>
      </c>
    </row>
    <row r="12">
      <c r="A12" t="inlineStr">
        <is>
          <t>*1965 - 2000 = 36.0%</t>
        </is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