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ximate convers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Approximate conversion factors</t>
        </is>
      </c>
    </row>
    <row r="2"/>
    <row r="3">
      <c r="D3" t="inlineStr">
        <is>
          <t>To</t>
        </is>
      </c>
      <c r="K3" s="1" t="inlineStr">
        <is>
          <t>Units</t>
        </is>
      </c>
    </row>
    <row r="4">
      <c r="D4" t="inlineStr">
        <is>
          <t>tonnes</t>
        </is>
      </c>
      <c r="G4" t="inlineStr">
        <is>
          <t>US</t>
        </is>
      </c>
      <c r="H4" t="inlineStr">
        <is>
          <t>tonnes/</t>
        </is>
      </c>
      <c r="K4" t="inlineStr">
        <is>
          <t xml:space="preserve">1 metric tonne = 2204.62 lb. </t>
        </is>
      </c>
    </row>
    <row r="5">
      <c r="A5" s="1" t="inlineStr">
        <is>
          <t>Crude oil*</t>
        </is>
      </c>
      <c r="D5" t="inlineStr">
        <is>
          <t>(metric)</t>
        </is>
      </c>
      <c r="E5" t="inlineStr">
        <is>
          <t>kilolitres</t>
        </is>
      </c>
      <c r="F5" t="inlineStr">
        <is>
          <t>barrels</t>
        </is>
      </c>
      <c r="G5" t="inlineStr">
        <is>
          <t>gallons</t>
        </is>
      </c>
      <c r="H5" t="inlineStr">
        <is>
          <t>year</t>
        </is>
      </c>
      <c r="K5">
        <f> 1.1023 short tons</f>
        <v/>
      </c>
    </row>
    <row r="6">
      <c r="K6" t="inlineStr">
        <is>
          <t>1 kilolitre = 6.2898 barrels</t>
        </is>
      </c>
    </row>
    <row r="7">
      <c r="A7" t="inlineStr">
        <is>
          <t>From</t>
        </is>
      </c>
      <c r="F7" t="inlineStr">
        <is>
          <t>Multiply by</t>
        </is>
      </c>
      <c r="K7" t="inlineStr">
        <is>
          <t>1 kilolitre = 1 cubic metre</t>
        </is>
      </c>
    </row>
    <row r="8">
      <c r="A8" t="inlineStr">
        <is>
          <t>Tonnes (metric)</t>
        </is>
      </c>
      <c r="D8" t="n">
        <v>1</v>
      </c>
      <c r="E8" t="n">
        <v>1.165</v>
      </c>
      <c r="F8" t="n">
        <v>7.33</v>
      </c>
      <c r="G8" t="n">
        <v>307.86</v>
      </c>
      <c r="H8" t="inlineStr">
        <is>
          <t>–</t>
        </is>
      </c>
      <c r="K8" t="inlineStr">
        <is>
          <t>1 kilocalorie (kcal) = 4.1868 kJ = 3.968 Btu</t>
        </is>
      </c>
    </row>
    <row r="9">
      <c r="A9" t="inlineStr">
        <is>
          <t>Kilolitres</t>
        </is>
      </c>
      <c r="D9" t="n">
        <v>0.8581</v>
      </c>
      <c r="E9" t="n">
        <v>1</v>
      </c>
      <c r="F9" t="n">
        <v>6.2898</v>
      </c>
      <c r="G9" t="n">
        <v>264.17</v>
      </c>
      <c r="H9" t="inlineStr">
        <is>
          <t>–</t>
        </is>
      </c>
      <c r="K9" t="inlineStr">
        <is>
          <t>1 kilojoule (kJ) = 1,000 joules = 0.239 kcal = 0.948 Btu</t>
        </is>
      </c>
    </row>
    <row r="10">
      <c r="A10" t="inlineStr">
        <is>
          <t>Barrels</t>
        </is>
      </c>
      <c r="D10" t="n">
        <v>0.1364</v>
      </c>
      <c r="E10" t="n">
        <v>0.159</v>
      </c>
      <c r="F10" t="n">
        <v>1</v>
      </c>
      <c r="G10" t="n">
        <v>42</v>
      </c>
      <c r="H10" t="inlineStr">
        <is>
          <t>–</t>
        </is>
      </c>
      <c r="K10" t="inlineStr">
        <is>
          <t>1 petajoule (PJ) = 1 quadrillion joules (1 x 1015)</t>
        </is>
      </c>
    </row>
    <row r="11">
      <c r="A11" t="inlineStr">
        <is>
          <t>US gallons</t>
        </is>
      </c>
      <c r="D11" t="n">
        <v>0.00325</v>
      </c>
      <c r="E11" t="n">
        <v>0.0038</v>
      </c>
      <c r="F11" t="n">
        <v>0.0238</v>
      </c>
      <c r="G11" t="n">
        <v>1</v>
      </c>
      <c r="H11" t="inlineStr">
        <is>
          <t>–</t>
        </is>
      </c>
      <c r="K11" t="inlineStr">
        <is>
          <t>1 exajoule (EJ) = 1 quintillion joules (1 x 1018)</t>
        </is>
      </c>
    </row>
    <row r="12">
      <c r="A12" t="inlineStr">
        <is>
          <t>Barrels/day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n">
        <v>49.8</v>
      </c>
      <c r="K12" t="inlineStr">
        <is>
          <t>1 British thermal unit (Btu) = 0.252 kcal = 1.055 kJ</t>
        </is>
      </c>
    </row>
    <row r="13">
      <c r="A13" t="inlineStr">
        <is>
          <t xml:space="preserve"> *Based on worldwide average gravity.</t>
        </is>
      </c>
      <c r="K13" t="inlineStr">
        <is>
          <t>1 barrel of oil equivalent (boe) = 5.8 million Btu = 6.119 million kJ</t>
        </is>
      </c>
    </row>
    <row r="14">
      <c r="K14" t="inlineStr">
        <is>
          <t>1 kilowatt-hour (kWh) = 860 kcal = 3600 kJ = 3412 Btu</t>
        </is>
      </c>
    </row>
    <row r="15">
      <c r="C15" t="inlineStr">
        <is>
          <t>To convert</t>
        </is>
      </c>
    </row>
    <row r="16">
      <c r="C16" t="inlineStr">
        <is>
          <t>barrels</t>
        </is>
      </c>
      <c r="D16" t="inlineStr">
        <is>
          <t>tonnes</t>
        </is>
      </c>
      <c r="E16" t="inlineStr">
        <is>
          <t>kilolitres</t>
        </is>
      </c>
      <c r="F16" t="inlineStr">
        <is>
          <t>tonnes</t>
        </is>
      </c>
      <c r="G16" t="inlineStr">
        <is>
          <t>tonnes</t>
        </is>
      </c>
      <c r="H16" t="inlineStr">
        <is>
          <t>tonnes</t>
        </is>
      </c>
      <c r="K16" t="inlineStr">
        <is>
          <t>Calorific equivalents</t>
        </is>
      </c>
    </row>
    <row r="17">
      <c r="A17" s="1" t="inlineStr">
        <is>
          <t>Oil products</t>
        </is>
      </c>
      <c r="C17" t="inlineStr">
        <is>
          <t>to tonnes</t>
        </is>
      </c>
      <c r="D17" t="inlineStr">
        <is>
          <t>to barrels</t>
        </is>
      </c>
      <c r="E17" t="inlineStr">
        <is>
          <t>to tonnes</t>
        </is>
      </c>
      <c r="F17" t="inlineStr">
        <is>
          <t>to kilolitres</t>
        </is>
      </c>
      <c r="G17" t="inlineStr">
        <is>
          <t>to gigajoules</t>
        </is>
      </c>
      <c r="H17" t="inlineStr">
        <is>
          <t>to barrels oil equiv.</t>
        </is>
      </c>
      <c r="K17" t="inlineStr">
        <is>
          <t>One exajoule equals approximately:</t>
        </is>
      </c>
    </row>
    <row r="18">
      <c r="K18" t="inlineStr">
        <is>
          <t xml:space="preserve">Heat units </t>
        </is>
      </c>
      <c r="L18" t="inlineStr">
        <is>
          <t>239 trillion kilocalories</t>
        </is>
      </c>
    </row>
    <row r="19">
      <c r="A19" t="inlineStr">
        <is>
          <t>From</t>
        </is>
      </c>
      <c r="C19" t="inlineStr">
        <is>
          <t>Multiply by</t>
        </is>
      </c>
      <c r="L19" t="inlineStr">
        <is>
          <t>948 trillion Btu</t>
        </is>
      </c>
    </row>
    <row r="20">
      <c r="A20" t="inlineStr">
        <is>
          <t>Ethane</t>
        </is>
      </c>
      <c r="C20" s="2" t="n">
        <v>0.0593471810089021</v>
      </c>
      <c r="D20" s="2" t="n">
        <v>16.85</v>
      </c>
      <c r="E20" s="2" t="n">
        <v>0.373282536727003</v>
      </c>
      <c r="F20" s="2" t="n">
        <v>2.67893593085856</v>
      </c>
      <c r="G20" s="2" t="n">
        <v>49.4</v>
      </c>
      <c r="H20" s="2" t="n">
        <v>8.07278719715136</v>
      </c>
      <c r="K20" t="inlineStr">
        <is>
          <t>Solid fuels</t>
        </is>
      </c>
      <c r="L20" t="inlineStr">
        <is>
          <t>40 million tonnes of hard coal</t>
        </is>
      </c>
    </row>
    <row r="21">
      <c r="A21" t="inlineStr">
        <is>
          <t>Liquefied petroleum gas (LPG)</t>
        </is>
      </c>
      <c r="C21" s="2" t="n">
        <v>0.08599999999999999</v>
      </c>
      <c r="D21" s="2" t="n">
        <v>11.6</v>
      </c>
      <c r="E21" s="2" t="n">
        <v>0.5409237239711</v>
      </c>
      <c r="F21" s="2" t="n">
        <v>1.84868948371994</v>
      </c>
      <c r="G21" s="2" t="n">
        <v>46.15</v>
      </c>
      <c r="H21" s="2" t="n">
        <v>7.54168277628614</v>
      </c>
      <c r="L21" t="inlineStr">
        <is>
          <t>95 million tonnes of lignite and sub-bituminous coal</t>
        </is>
      </c>
    </row>
    <row r="22">
      <c r="A22" t="inlineStr">
        <is>
          <t>Gasoline</t>
        </is>
      </c>
      <c r="C22" s="2" t="n">
        <v>0.119760479041916</v>
      </c>
      <c r="D22" s="2" t="n">
        <v>8.35</v>
      </c>
      <c r="E22" s="2" t="n">
        <v>0.753270747766467</v>
      </c>
      <c r="F22" s="2" t="n">
        <v>1.32754391825929</v>
      </c>
      <c r="G22" s="2" t="n">
        <v>44.75</v>
      </c>
      <c r="H22" s="2" t="n">
        <v>7.31289933345189</v>
      </c>
      <c r="K22" t="inlineStr">
        <is>
          <t>Gaseous fuels</t>
        </is>
      </c>
      <c r="L22" t="inlineStr">
        <is>
          <t xml:space="preserve">See Natural gas and LNG table </t>
        </is>
      </c>
    </row>
    <row r="23">
      <c r="A23" t="inlineStr">
        <is>
          <t>Kerosene</t>
        </is>
      </c>
      <c r="C23" s="2" t="n">
        <v>0.126903553299492</v>
      </c>
      <c r="D23" s="2" t="n">
        <v>7.88</v>
      </c>
      <c r="E23" s="2" t="n">
        <v>0.798199332975888</v>
      </c>
      <c r="F23" s="2" t="n">
        <v>1.25281988932733</v>
      </c>
      <c r="G23" s="2" t="n">
        <v>43.92</v>
      </c>
      <c r="H23" s="2" t="n">
        <v>7.17726343520015</v>
      </c>
      <c r="K23" t="inlineStr">
        <is>
          <t>Electricity</t>
        </is>
      </c>
      <c r="L23" t="inlineStr">
        <is>
          <t>278 terawatt-hours</t>
        </is>
      </c>
    </row>
    <row r="24">
      <c r="A24" t="inlineStr">
        <is>
          <t>Gas oil/ diesel</t>
        </is>
      </c>
      <c r="C24" s="2" t="n">
        <v>0.134048257372654</v>
      </c>
      <c r="D24" s="2" t="n">
        <v>7.46</v>
      </c>
      <c r="E24" s="2" t="n">
        <v>0.84313816941689</v>
      </c>
      <c r="F24" s="2" t="n">
        <v>1.18604522517536</v>
      </c>
      <c r="G24" s="2" t="n">
        <v>43.38</v>
      </c>
      <c r="H24" s="2" t="n">
        <v>7.08901839296409</v>
      </c>
    </row>
    <row r="25">
      <c r="A25" t="inlineStr">
        <is>
          <t>Residual fuel oil</t>
        </is>
      </c>
      <c r="C25" s="2" t="n">
        <v>0.15748031496063</v>
      </c>
      <c r="D25" s="2" t="n">
        <v>6.35</v>
      </c>
      <c r="E25" s="2" t="n">
        <v>0.990521376984252</v>
      </c>
      <c r="F25" s="2" t="n">
        <v>1.00956932705946</v>
      </c>
      <c r="G25" s="2" t="n">
        <v>41.57</v>
      </c>
      <c r="H25" s="2" t="n">
        <v>6.79323408472838</v>
      </c>
      <c r="K25" t="inlineStr">
        <is>
          <t>All fuel energy content is net or lower heating value (i.e., net of heat of vaporisation of water generated from combustion).</t>
        </is>
      </c>
    </row>
    <row r="26">
      <c r="A26" t="inlineStr">
        <is>
          <t xml:space="preserve">Product basket </t>
        </is>
      </c>
      <c r="C26" s="2" t="n">
        <v>0.124104868209959</v>
      </c>
      <c r="D26" s="2" t="n">
        <v>8.05770163913485</v>
      </c>
      <c r="E26" s="2" t="n">
        <v>0.780596133431088</v>
      </c>
      <c r="F26" s="2" t="n">
        <v>1.28107219235705</v>
      </c>
      <c r="G26" s="2" t="n">
        <v>43.076298138135</v>
      </c>
      <c r="H26" s="2" t="n">
        <v>7.03938842328363</v>
      </c>
    </row>
    <row r="27">
      <c r="K27" t="inlineStr">
        <is>
          <t xml:space="preserve">1 barrel of ethanol = 0.58 barrels of oil equivalent </t>
        </is>
      </c>
    </row>
    <row r="28">
      <c r="C28" t="inlineStr">
        <is>
          <t>To</t>
        </is>
      </c>
      <c r="K28" t="inlineStr">
        <is>
          <t xml:space="preserve">1 barrel of biodiesel = 0.86 barrels of oil equivalent </t>
        </is>
      </c>
    </row>
    <row r="29">
      <c r="C29" t="inlineStr">
        <is>
          <t>billion cubic</t>
        </is>
      </c>
      <c r="D29" t="inlineStr">
        <is>
          <t>billion cubic</t>
        </is>
      </c>
      <c r="E29" t="inlineStr">
        <is>
          <t>petajoules</t>
        </is>
      </c>
      <c r="F29" t="inlineStr">
        <is>
          <t>million tonnes</t>
        </is>
      </c>
      <c r="G29" t="inlineStr">
        <is>
          <t>million tonnes</t>
        </is>
      </c>
      <c r="H29" t="inlineStr">
        <is>
          <t>trillion British</t>
        </is>
      </c>
      <c r="I29" t="inlineStr">
        <is>
          <t>million barrels</t>
        </is>
      </c>
    </row>
    <row r="30">
      <c r="A30" s="1" t="inlineStr">
        <is>
          <t>Natural gas (NG) and liquefied natural gas (LNG)</t>
        </is>
      </c>
      <c r="C30" t="inlineStr">
        <is>
          <t>metres NG</t>
        </is>
      </c>
      <c r="D30" t="inlineStr">
        <is>
          <t>feet NG</t>
        </is>
      </c>
      <c r="E30" t="inlineStr">
        <is>
          <t>NG</t>
        </is>
      </c>
      <c r="F30" t="inlineStr">
        <is>
          <t>oil equivalent</t>
        </is>
      </c>
      <c r="G30" t="inlineStr">
        <is>
          <t>LNG</t>
        </is>
      </c>
      <c r="H30" t="inlineStr">
        <is>
          <t>thermal units</t>
        </is>
      </c>
      <c r="I30" t="inlineStr">
        <is>
          <t>oil equivalent</t>
        </is>
      </c>
      <c r="K30" t="inlineStr">
        <is>
          <t xml:space="preserve">1 tonne of ethanol = 0.68 tonne of oil equivalent </t>
        </is>
      </c>
    </row>
    <row r="31">
      <c r="K31" t="inlineStr">
        <is>
          <t xml:space="preserve">1 tonne of biodiesel = 0.88 tonne of oil equivalent </t>
        </is>
      </c>
    </row>
    <row r="32">
      <c r="A32" t="inlineStr">
        <is>
          <t>From</t>
        </is>
      </c>
      <c r="C32" t="inlineStr">
        <is>
          <t>Multiply by</t>
        </is>
      </c>
    </row>
    <row r="33">
      <c r="A33" t="inlineStr">
        <is>
          <t>1 billion cubic metres NG</t>
        </is>
      </c>
      <c r="C33" s="2" t="n">
        <v>1</v>
      </c>
      <c r="D33" s="2" t="n">
        <v>35.3146624712848</v>
      </c>
      <c r="E33" s="2" t="n">
        <v>36</v>
      </c>
      <c r="F33" s="2" t="n">
        <v>0.859845227858985</v>
      </c>
      <c r="G33" s="2" t="n">
        <v>0.735294117647059</v>
      </c>
      <c r="H33" s="2" t="n">
        <v>34.1214163312809</v>
      </c>
      <c r="I33" s="2" t="n">
        <v>5.88300281573809</v>
      </c>
      <c r="J33" s="2" t="n"/>
      <c r="K33" t="inlineStr">
        <is>
          <t>Other terms</t>
        </is>
      </c>
    </row>
    <row r="34">
      <c r="A34" t="inlineStr">
        <is>
          <t>1 billion cubic feet NG</t>
        </is>
      </c>
      <c r="C34" s="2" t="n">
        <v>0.02831685</v>
      </c>
      <c r="D34" s="2" t="n">
        <v>1</v>
      </c>
      <c r="E34" s="2" t="n">
        <v>1.0194066</v>
      </c>
      <c r="F34" s="2" t="n">
        <v>0.0243481083404987</v>
      </c>
      <c r="G34" s="2" t="n">
        <v>0.0208212132352941</v>
      </c>
      <c r="H34" s="2" t="n">
        <v>0.966211028040432</v>
      </c>
      <c r="I34" s="2" t="n">
        <v>0.166588108282833</v>
      </c>
      <c r="J34" s="2" t="n"/>
      <c r="K34" t="inlineStr">
        <is>
          <t>Tonnes: Metric equivalent of tons</t>
        </is>
      </c>
    </row>
    <row r="35">
      <c r="A35" t="inlineStr">
        <is>
          <t>1 petajoule NG</t>
        </is>
      </c>
      <c r="C35" s="2" t="n">
        <v>0.0277777777777778</v>
      </c>
      <c r="D35" s="2" t="n">
        <v>0.980962846424577</v>
      </c>
      <c r="E35" s="2" t="n">
        <v>1</v>
      </c>
      <c r="F35" s="2" t="n">
        <v>0.0238845896627496</v>
      </c>
      <c r="G35" s="2" t="n">
        <v>0.0205140109107021</v>
      </c>
      <c r="H35" s="2" t="n">
        <v>0.95195526539557</v>
      </c>
      <c r="I35" s="2" t="n">
        <v>0.16413021817165</v>
      </c>
      <c r="J35" s="2" t="n"/>
    </row>
    <row r="36">
      <c r="A36" t="inlineStr">
        <is>
          <t>1 million tonnes oil equivalent</t>
        </is>
      </c>
      <c r="C36" s="2" t="n">
        <v>1.163</v>
      </c>
      <c r="D36" s="2" t="n">
        <v>41.0709524541042</v>
      </c>
      <c r="E36" s="2" t="n">
        <v>41.868</v>
      </c>
      <c r="F36" s="2" t="n">
        <v>1</v>
      </c>
      <c r="G36" s="2" t="n">
        <v>0.855147058823529</v>
      </c>
      <c r="H36" s="2" t="n">
        <v>39.6832071932797</v>
      </c>
      <c r="I36" s="2" t="n">
        <v>6.8419322747034</v>
      </c>
      <c r="J36" s="2" t="n"/>
      <c r="K36" t="inlineStr">
        <is>
          <t>Percentages</t>
        </is>
      </c>
    </row>
    <row r="37">
      <c r="A37" t="inlineStr">
        <is>
          <t>1 million tonnes LNG</t>
        </is>
      </c>
      <c r="C37" s="2" t="n">
        <v>1.36</v>
      </c>
      <c r="D37" s="2" t="n">
        <v>48.0279409609473</v>
      </c>
      <c r="E37" s="2" t="n">
        <v>48.7471711092003</v>
      </c>
      <c r="F37" s="2" t="n">
        <v>1.16938950988822</v>
      </c>
      <c r="G37" s="2" t="n">
        <v>1</v>
      </c>
      <c r="H37" s="2" t="n">
        <v>46.4051262105421</v>
      </c>
      <c r="I37" s="2" t="n">
        <v>8.000883829403801</v>
      </c>
      <c r="J37" s="2" t="n"/>
      <c r="K37" t="inlineStr">
        <is>
          <t xml:space="preserve">Calculated before rounding of actuals. </t>
        </is>
      </c>
    </row>
    <row r="38">
      <c r="A38" t="inlineStr">
        <is>
          <t>1 trillion British thermal units</t>
        </is>
      </c>
      <c r="C38" s="2" t="n">
        <v>0.0293071070172209</v>
      </c>
      <c r="D38" s="2" t="n">
        <v>1.03497059232298</v>
      </c>
      <c r="E38" s="2" t="n">
        <v>1.05046952976773</v>
      </c>
      <c r="F38" s="2" t="n">
        <v>0.02519957611111</v>
      </c>
      <c r="G38" s="2" t="n">
        <v>0.0215493433950154</v>
      </c>
      <c r="H38" s="2" t="n">
        <v>1</v>
      </c>
      <c r="I38" s="2" t="n">
        <v>0.172413793103448</v>
      </c>
      <c r="J38" s="2" t="n"/>
    </row>
    <row r="39">
      <c r="A39" t="inlineStr">
        <is>
          <t>1 million barrels oil equivalent</t>
        </is>
      </c>
      <c r="C39" s="2" t="n">
        <v>0.169981220699881</v>
      </c>
      <c r="D39" s="2" t="n">
        <v>6.00282943547327</v>
      </c>
      <c r="E39" s="2" t="n">
        <v>6.09272327265284</v>
      </c>
      <c r="F39" s="2" t="n">
        <v>0.146157541444438</v>
      </c>
      <c r="G39" s="2" t="n">
        <v>0.124986191691089</v>
      </c>
      <c r="H39" s="2" t="n">
        <v>5.8</v>
      </c>
      <c r="I39" s="2" t="n">
        <v>1</v>
      </c>
      <c r="J39" s="2" t="n"/>
      <c r="K39" t="inlineStr">
        <is>
          <t>Rounding differences</t>
        </is>
      </c>
    </row>
    <row r="40">
      <c r="K40" t="inlineStr">
        <is>
          <t xml:space="preserve">Because of rounding, some totals may not agree exactly with the sum of their component parts. 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